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テストケース" sheetId="2" state="visible" r:id="rId2"/>
    <sheet xmlns:r="http://schemas.openxmlformats.org/officeDocument/2006/relationships" name="切替判定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テスト結果サマリー: 本番環境 最終試験（パイロット切替）</t>
        </is>
      </c>
    </row>
    <row r="3">
      <c r="A3" s="2" t="inlineStr">
        <is>
          <t>項目</t>
        </is>
      </c>
      <c r="B3" s="2" t="inlineStr">
        <is>
          <t>件数</t>
        </is>
      </c>
    </row>
    <row r="4">
      <c r="A4" s="3" t="inlineStr">
        <is>
          <t>総テストケース数</t>
        </is>
      </c>
      <c r="B4" s="3">
        <f>COUNTA(テストケース!A:A)-8</f>
        <v/>
      </c>
    </row>
    <row r="5">
      <c r="A5" s="3" t="inlineStr">
        <is>
          <t>合格(Pass)</t>
        </is>
      </c>
      <c r="B5" s="3">
        <f>COUNTIF(テストケース!H:H,"Pass")</f>
        <v/>
      </c>
    </row>
    <row r="6">
      <c r="A6" s="3" t="inlineStr">
        <is>
          <t>不合格(Fail)</t>
        </is>
      </c>
      <c r="B6" s="3">
        <f>COUNTIF(テストケース!H:H,"Fail")</f>
        <v/>
      </c>
    </row>
    <row r="7">
      <c r="A7" s="3" t="inlineStr">
        <is>
          <t>未実施</t>
        </is>
      </c>
      <c r="B7" s="3">
        <f>COUNTIF(テストケース!H:H,"")</f>
        <v/>
      </c>
    </row>
    <row r="8">
      <c r="A8" s="3" t="inlineStr">
        <is>
          <t>合格率</t>
        </is>
      </c>
      <c r="B8" s="3">
        <f>IF(B4&gt;0,B5/B4*100,0)</f>
        <v/>
      </c>
    </row>
    <row r="12">
      <c r="A12" s="4" t="inlineStr">
        <is>
          <t>承認欄</t>
        </is>
      </c>
    </row>
    <row r="13">
      <c r="A13" s="2" t="inlineStr">
        <is>
          <t>役割</t>
        </is>
      </c>
      <c r="B13" s="2" t="inlineStr">
        <is>
          <t>氏名</t>
        </is>
      </c>
      <c r="C13" s="2" t="inlineStr">
        <is>
          <t>日付</t>
        </is>
      </c>
      <c r="D13" s="2" t="inlineStr">
        <is>
          <t>署名</t>
        </is>
      </c>
    </row>
    <row r="14">
      <c r="A14" s="3" t="inlineStr">
        <is>
          <t>実施者</t>
        </is>
      </c>
      <c r="B14" s="3" t="n"/>
      <c r="C14" s="3" t="n"/>
      <c r="D14" s="3" t="n"/>
    </row>
    <row r="15">
      <c r="A15" s="3" t="inlineStr">
        <is>
          <t>レビュアー</t>
        </is>
      </c>
      <c r="B15" s="3" t="n"/>
      <c r="C15" s="3" t="n"/>
      <c r="D15" s="3" t="n"/>
    </row>
    <row r="16">
      <c r="A16" s="3" t="inlineStr">
        <is>
          <t>承認者</t>
        </is>
      </c>
      <c r="B16" s="3" t="n"/>
      <c r="C16" s="3" t="n"/>
      <c r="D16" s="3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40" customWidth="1" min="4" max="4"/>
    <col width="30" customWidth="1" min="5" max="5"/>
    <col width="12" customWidth="1" min="6" max="6"/>
    <col width="10" customWidth="1" min="7" max="7"/>
    <col width="8" customWidth="1" min="8" max="8"/>
    <col width="20" customWidth="1" min="9" max="9"/>
    <col width="15" customWidth="1" min="10" max="10"/>
  </cols>
  <sheetData>
    <row r="1">
      <c r="A1" s="1" t="inlineStr">
        <is>
          <t>テスト仕様書: 本番環境 最終試験（パイロット切替）</t>
        </is>
      </c>
    </row>
    <row r="2">
      <c r="A2" t="inlineStr">
        <is>
          <t>環境: 本番環境（パイロットドメイン）</t>
        </is>
      </c>
    </row>
    <row r="3">
      <c r="A3" t="inlineStr">
        <is>
          <t>目的: パイロットドメインの本番切替前後の最終確認を行い、本番運用への移行を判定する</t>
        </is>
      </c>
    </row>
    <row r="4">
      <c r="A4" t="inlineStr">
        <is>
          <t>前提条件: ・テストドメインでの試験完了
・お客様最終承認
・切替日程調整完了
・切り戻し手順確認完了</t>
        </is>
      </c>
    </row>
    <row r="5">
      <c r="A5" t="inlineStr">
        <is>
          <t>作成日: 2026-01-20</t>
        </is>
      </c>
    </row>
    <row r="6">
      <c r="A6" t="inlineStr">
        <is>
          <t xml:space="preserve">作成者: </t>
        </is>
      </c>
    </row>
    <row r="8">
      <c r="A8" s="2" t="inlineStr">
        <is>
          <t>No</t>
        </is>
      </c>
      <c r="B8" s="2" t="inlineStr">
        <is>
          <t>カテゴリ</t>
        </is>
      </c>
      <c r="C8" s="2" t="inlineStr">
        <is>
          <t>テスト項目</t>
        </is>
      </c>
      <c r="D8" s="2" t="inlineStr">
        <is>
          <t>テスト手順</t>
        </is>
      </c>
      <c r="E8" s="2" t="inlineStr">
        <is>
          <t>期待結果</t>
        </is>
      </c>
      <c r="F8" s="2" t="inlineStr">
        <is>
          <t>実施日</t>
        </is>
      </c>
      <c r="G8" s="2" t="inlineStr">
        <is>
          <t>実施者</t>
        </is>
      </c>
      <c r="H8" s="2" t="inlineStr">
        <is>
          <t>結果</t>
        </is>
      </c>
      <c r="I8" s="2" t="inlineStr">
        <is>
          <t>備考</t>
        </is>
      </c>
      <c r="J8" s="2" t="inlineStr">
        <is>
          <t>エビデンス</t>
        </is>
      </c>
    </row>
    <row r="9">
      <c r="A9" s="3" t="n">
        <v>1</v>
      </c>
      <c r="B9" s="3" t="inlineStr">
        <is>
          <t>切替前確認</t>
        </is>
      </c>
      <c r="C9" s="3" t="inlineStr">
        <is>
          <t>切替前バックアップ取得</t>
        </is>
      </c>
      <c r="D9" s="3" t="inlineStr">
        <is>
          <t>1. Export-EXOConfigSnapshot.ps1でEXO設定をエクスポート
2. AWS DMZ SMTPのtransportバックアップ</t>
        </is>
      </c>
      <c r="E9" s="3" t="inlineStr">
        <is>
          <t>バックアップファイル生成完了</t>
        </is>
      </c>
      <c r="F9" s="3" t="inlineStr"/>
      <c r="G9" s="3" t="inlineStr"/>
      <c r="H9" s="3" t="inlineStr"/>
      <c r="I9" s="3" t="inlineStr"/>
      <c r="J9" s="3" t="inlineStr"/>
    </row>
    <row r="10">
      <c r="A10" s="3" t="n">
        <v>2</v>
      </c>
      <c r="B10" s="3" t="inlineStr">
        <is>
          <t>切替前確認</t>
        </is>
      </c>
      <c r="C10" s="3" t="inlineStr">
        <is>
          <t>切替前メールフロー正常性確認</t>
        </is>
      </c>
      <c r="D10" s="3" t="inlineStr">
        <is>
          <t>1. 既存経路でのメール送受信を確認
2. 問題がないことを確認</t>
        </is>
      </c>
      <c r="E10" s="3" t="inlineStr">
        <is>
          <t>既存経路正常動作</t>
        </is>
      </c>
      <c r="F10" s="3" t="inlineStr"/>
      <c r="G10" s="3" t="inlineStr"/>
      <c r="H10" s="3" t="inlineStr"/>
      <c r="I10" s="3" t="inlineStr"/>
      <c r="J10" s="3" t="inlineStr"/>
    </row>
    <row r="11">
      <c r="A11" s="3" t="n">
        <v>3</v>
      </c>
      <c r="B11" s="3" t="inlineStr">
        <is>
          <t>切替前確認</t>
        </is>
      </c>
      <c r="C11" s="3" t="inlineStr">
        <is>
          <t>切替チェックリスト確認</t>
        </is>
      </c>
      <c r="D11" s="3" t="inlineStr">
        <is>
          <t>1. 全切替前提条件を確認
2. お客様と最終確認</t>
        </is>
      </c>
      <c r="E11" s="3" t="inlineStr">
        <is>
          <t>全項目チェック完了</t>
        </is>
      </c>
      <c r="F11" s="3" t="inlineStr"/>
      <c r="G11" s="3" t="inlineStr"/>
      <c r="H11" s="3" t="inlineStr"/>
      <c r="I11" s="3" t="inlineStr"/>
      <c r="J11" s="3" t="inlineStr"/>
    </row>
    <row r="12">
      <c r="A12" s="3" t="n">
        <v>4</v>
      </c>
      <c r="B12" s="3" t="inlineStr">
        <is>
          <t>切替作業</t>
        </is>
      </c>
      <c r="C12" s="3" t="inlineStr">
        <is>
          <t>AD属性投入（本番）</t>
        </is>
      </c>
      <c r="D12" s="3" t="inlineStr">
        <is>
          <t>1. Set-ADMailAddressesFromCsv.ps1を実行
2. 属性設定を確認</t>
        </is>
      </c>
      <c r="E12" s="3" t="inlineStr">
        <is>
          <t>全対象ユーザーに属性設定完了</t>
        </is>
      </c>
      <c r="F12" s="3" t="inlineStr"/>
      <c r="G12" s="3" t="inlineStr"/>
      <c r="H12" s="3" t="inlineStr"/>
      <c r="I12" s="3" t="inlineStr"/>
      <c r="J12" s="3" t="inlineStr"/>
    </row>
    <row r="13">
      <c r="A13" s="3" t="n">
        <v>5</v>
      </c>
      <c r="B13" s="3" t="inlineStr">
        <is>
          <t>切替作業</t>
        </is>
      </c>
      <c r="C13" s="3" t="inlineStr">
        <is>
          <t>Entra ID同期実行</t>
        </is>
      </c>
      <c r="D13" s="3" t="inlineStr">
        <is>
          <t>1. Start-ADSyncSyncCycleを実行
2. 同期完了を確認</t>
        </is>
      </c>
      <c r="E13" s="3" t="inlineStr">
        <is>
          <t>差分同期完了</t>
        </is>
      </c>
      <c r="F13" s="3" t="inlineStr"/>
      <c r="G13" s="3" t="inlineStr"/>
      <c r="H13" s="3" t="inlineStr"/>
      <c r="I13" s="3" t="inlineStr"/>
      <c r="J13" s="3" t="inlineStr"/>
    </row>
    <row r="14">
      <c r="A14" s="3" t="n">
        <v>6</v>
      </c>
      <c r="B14" s="3" t="inlineStr">
        <is>
          <t>切替作業</t>
        </is>
      </c>
      <c r="C14" s="3" t="inlineStr">
        <is>
          <t>ライセンスグループ追加</t>
        </is>
      </c>
      <c r="D14" s="3" t="inlineStr">
        <is>
          <t>1. Add-UsersToLicenseGroup.ps1を実行
2. ライセンス付与を確認</t>
        </is>
      </c>
      <c r="E14" s="3" t="inlineStr">
        <is>
          <t>全対象ユーザーにライセンス付与</t>
        </is>
      </c>
      <c r="F14" s="3" t="inlineStr"/>
      <c r="G14" s="3" t="inlineStr"/>
      <c r="H14" s="3" t="inlineStr"/>
      <c r="I14" s="3" t="inlineStr"/>
      <c r="J14" s="3" t="inlineStr"/>
    </row>
    <row r="15">
      <c r="A15" s="3" t="n">
        <v>7</v>
      </c>
      <c r="B15" s="3" t="inlineStr">
        <is>
          <t>切替作業</t>
        </is>
      </c>
      <c r="C15" s="3" t="inlineStr">
        <is>
          <t>メールボックス作成確認</t>
        </is>
      </c>
      <c r="D15" s="3" t="inlineStr">
        <is>
          <t>1. Get-Mailboxで全対象ユーザーを確認
2. PrimarySmtpAddressを確認</t>
        </is>
      </c>
      <c r="E15" s="3" t="inlineStr">
        <is>
          <t>全対象ユーザーのメールボックス作成完了</t>
        </is>
      </c>
      <c r="F15" s="3" t="inlineStr"/>
      <c r="G15" s="3" t="inlineStr"/>
      <c r="H15" s="3" t="inlineStr"/>
      <c r="I15" s="3" t="inlineStr"/>
      <c r="J15" s="3" t="inlineStr"/>
    </row>
    <row r="16">
      <c r="A16" s="3" t="n">
        <v>8</v>
      </c>
      <c r="B16" s="3" t="inlineStr">
        <is>
          <t>切替作業</t>
        </is>
      </c>
      <c r="C16" s="3" t="inlineStr">
        <is>
          <t>Accepted Domain変更</t>
        </is>
      </c>
      <c r="D16" s="3" t="inlineStr">
        <is>
          <t>1. Set-AcceptedDomainType.ps1を実行
2. InternalRelayに変更されることを確認</t>
        </is>
      </c>
      <c r="E16" s="3" t="inlineStr">
        <is>
          <t>InternalRelayに変更完了</t>
        </is>
      </c>
      <c r="F16" s="3" t="inlineStr"/>
      <c r="G16" s="3" t="inlineStr"/>
      <c r="H16" s="3" t="inlineStr"/>
      <c r="I16" s="3" t="inlineStr"/>
      <c r="J16" s="3" t="inlineStr"/>
    </row>
    <row r="17">
      <c r="A17" s="3" t="n">
        <v>9</v>
      </c>
      <c r="B17" s="3" t="inlineStr">
        <is>
          <t>切替作業</t>
        </is>
      </c>
      <c r="C17" s="3" t="inlineStr">
        <is>
          <t>AWS DMZ transport切替</t>
        </is>
      </c>
      <c r="D17" s="3" t="inlineStr">
        <is>
          <t>1. Set-DmzSmtpRouting.shを実行
2. postmap &amp;&amp; postfix reload</t>
        </is>
      </c>
      <c r="E17" s="3" t="inlineStr">
        <is>
          <t>EXO向けルーティング有効化</t>
        </is>
      </c>
      <c r="F17" s="3" t="inlineStr"/>
      <c r="G17" s="3" t="inlineStr"/>
      <c r="H17" s="3" t="inlineStr"/>
      <c r="I17" s="3" t="inlineStr"/>
      <c r="J17" s="3" t="inlineStr"/>
    </row>
    <row r="18">
      <c r="A18" s="3" t="n">
        <v>10</v>
      </c>
      <c r="B18" s="3" t="inlineStr">
        <is>
          <t>切替後確認</t>
        </is>
      </c>
      <c r="C18" s="3" t="inlineStr">
        <is>
          <t>Message Trace監視（30分）</t>
        </is>
      </c>
      <c r="D18" s="3" t="inlineStr">
        <is>
          <t>1. EXO管理センターでMessage Traceを監視
2. NDR、遅延の有無を確認</t>
        </is>
      </c>
      <c r="E18" s="3" t="inlineStr">
        <is>
          <t>重大な問題なし</t>
        </is>
      </c>
      <c r="F18" s="3" t="inlineStr"/>
      <c r="G18" s="3" t="inlineStr"/>
      <c r="H18" s="3" t="inlineStr"/>
      <c r="I18" s="3" t="inlineStr"/>
      <c r="J18" s="3" t="inlineStr"/>
    </row>
    <row r="19">
      <c r="A19" s="3" t="n">
        <v>11</v>
      </c>
      <c r="B19" s="3" t="inlineStr">
        <is>
          <t>切替後確認</t>
        </is>
      </c>
      <c r="C19" s="3" t="inlineStr">
        <is>
          <t>お客様確認（代表ユーザー）</t>
        </is>
      </c>
      <c r="D19" s="3" t="inlineStr">
        <is>
          <t>1. お客様代表ユーザーにメール送受信を依頼
2. 正常動作を確認</t>
        </is>
      </c>
      <c r="E19" s="3" t="inlineStr">
        <is>
          <t>お客様確認OK</t>
        </is>
      </c>
      <c r="F19" s="3" t="inlineStr"/>
      <c r="G19" s="3" t="inlineStr"/>
      <c r="H19" s="3" t="inlineStr"/>
      <c r="I19" s="3" t="inlineStr"/>
      <c r="J19" s="3" t="inlineStr"/>
    </row>
    <row r="20">
      <c r="A20" s="3" t="n">
        <v>12</v>
      </c>
      <c r="B20" s="3" t="inlineStr">
        <is>
          <t>安定化監視</t>
        </is>
      </c>
      <c r="C20" s="3" t="inlineStr">
        <is>
          <t>1時間後監視</t>
        </is>
      </c>
      <c r="D20" s="3" t="inlineStr">
        <is>
          <t>1. Message Trace、各種ログを確認
2. 異常の有無を報告</t>
        </is>
      </c>
      <c r="E20" s="3" t="inlineStr">
        <is>
          <t>安定稼働確認</t>
        </is>
      </c>
      <c r="F20" s="3" t="inlineStr"/>
      <c r="G20" s="3" t="inlineStr"/>
      <c r="H20" s="3" t="inlineStr"/>
      <c r="I20" s="3" t="inlineStr"/>
      <c r="J20" s="3" t="inlineStr"/>
    </row>
    <row r="21">
      <c r="A21" s="3" t="n">
        <v>13</v>
      </c>
      <c r="B21" s="3" t="inlineStr">
        <is>
          <t>安定化監視</t>
        </is>
      </c>
      <c r="C21" s="3" t="inlineStr">
        <is>
          <t>翌日監視</t>
        </is>
      </c>
      <c r="D21" s="3" t="inlineStr">
        <is>
          <t>1. 翌日の状況をお客様にヒアリング
2. 問題報告の有無を確認</t>
        </is>
      </c>
      <c r="E21" s="3" t="inlineStr">
        <is>
          <t>問題報告なし</t>
        </is>
      </c>
      <c r="F21" s="3" t="inlineStr"/>
      <c r="G21" s="3" t="inlineStr"/>
      <c r="H21" s="3" t="inlineStr"/>
      <c r="I21" s="3" t="inlineStr"/>
      <c r="J21" s="3" t="inlineStr"/>
    </row>
    <row r="22">
      <c r="A22" s="3" t="n">
        <v>14</v>
      </c>
      <c r="B22" s="3" t="inlineStr">
        <is>
          <t>メールフロー</t>
        </is>
      </c>
      <c r="C22" s="3" t="inlineStr">
        <is>
          <t>EXOユーザー→EXOユーザー（同一ドメイン）</t>
        </is>
      </c>
      <c r="D22" s="3" t="inlineStr">
        <is>
          <t>1. EXOユーザーAからEXOユーザーBへメール送信
2. ユーザーBの受信を確認</t>
        </is>
      </c>
      <c r="E22" s="3" t="inlineStr">
        <is>
          <t>数秒〜1分以内に配送完了、Message Traceで確認可能</t>
        </is>
      </c>
      <c r="F22" s="3" t="inlineStr"/>
      <c r="G22" s="3" t="inlineStr"/>
      <c r="H22" s="3" t="inlineStr"/>
      <c r="I22" s="3" t="inlineStr"/>
      <c r="J22" s="3" t="inlineStr"/>
    </row>
    <row r="23">
      <c r="A23" s="3" t="n">
        <v>15</v>
      </c>
      <c r="B23" s="3" t="inlineStr">
        <is>
          <t>メールフロー</t>
        </is>
      </c>
      <c r="C23" s="3" t="inlineStr">
        <is>
          <t>EXOユーザー→未移行ユーザー（Internal Relay）</t>
        </is>
      </c>
      <c r="D23" s="3" t="inlineStr">
        <is>
          <t>1. EXOユーザーから未移行ユーザーへメール送信
2. Courier IMAPでの受信を確認</t>
        </is>
      </c>
      <c r="E23" s="3" t="inlineStr">
        <is>
          <t>フォールバック経路経由で配送、内部DMZ SMTPログに記録</t>
        </is>
      </c>
      <c r="F23" s="3" t="inlineStr"/>
      <c r="G23" s="3" t="inlineStr"/>
      <c r="H23" s="3" t="inlineStr"/>
      <c r="I23" s="3" t="inlineStr"/>
      <c r="J23" s="3" t="inlineStr"/>
    </row>
    <row r="24">
      <c r="A24" s="3" t="n">
        <v>16</v>
      </c>
      <c r="B24" s="3" t="inlineStr">
        <is>
          <t>メールフロー</t>
        </is>
      </c>
      <c r="C24" s="3" t="inlineStr">
        <is>
          <t>EXOユーザー→外部（Gmail等）</t>
        </is>
      </c>
      <c r="D24" s="3" t="inlineStr">
        <is>
          <t>1. EXOユーザーから外部アドレスへメール送信
2. 外部での受信を確認</t>
        </is>
      </c>
      <c r="E24" s="3" t="inlineStr">
        <is>
          <t>セキュリティサービス経由（導入時）またはEXO直接で配送</t>
        </is>
      </c>
      <c r="F24" s="3" t="inlineStr"/>
      <c r="G24" s="3" t="inlineStr"/>
      <c r="H24" s="3" t="inlineStr"/>
      <c r="I24" s="3" t="inlineStr"/>
      <c r="J24" s="3" t="inlineStr"/>
    </row>
    <row r="25">
      <c r="A25" s="3" t="n">
        <v>17</v>
      </c>
      <c r="B25" s="3" t="inlineStr">
        <is>
          <t>メールフロー</t>
        </is>
      </c>
      <c r="C25" s="3" t="inlineStr">
        <is>
          <t>未移行ユーザー→EXOユーザー</t>
        </is>
      </c>
      <c r="D25" s="3" t="inlineStr">
        <is>
          <t>1. Thunderbirdから未移行ユーザーがEXOユーザーへ送信
2. EXOでの受信を確認</t>
        </is>
      </c>
      <c r="E25" s="3" t="inlineStr">
        <is>
          <t>AWS DMZ SMTP経由でEXOに配送</t>
        </is>
      </c>
      <c r="F25" s="3" t="inlineStr"/>
      <c r="G25" s="3" t="inlineStr"/>
      <c r="H25" s="3" t="inlineStr"/>
      <c r="I25" s="3" t="inlineStr"/>
      <c r="J25" s="3" t="inlineStr"/>
    </row>
    <row r="26">
      <c r="A26" s="3" t="n">
        <v>18</v>
      </c>
      <c r="B26" s="3" t="inlineStr">
        <is>
          <t>メールフロー</t>
        </is>
      </c>
      <c r="C26" s="3" t="inlineStr">
        <is>
          <t>未移行ユーザー→未移行ユーザー</t>
        </is>
      </c>
      <c r="D26" s="3" t="inlineStr">
        <is>
          <t>1. 未移行ユーザー間でメール送受信
2. Courier IMAPでの受信を確認</t>
        </is>
      </c>
      <c r="E26" s="3" t="inlineStr">
        <is>
          <t>既存経路で配送（変更なし）</t>
        </is>
      </c>
      <c r="F26" s="3" t="inlineStr"/>
      <c r="G26" s="3" t="inlineStr"/>
      <c r="H26" s="3" t="inlineStr"/>
      <c r="I26" s="3" t="inlineStr"/>
      <c r="J26" s="3" t="inlineStr"/>
    </row>
    <row r="27">
      <c r="A27" s="3" t="n">
        <v>19</v>
      </c>
      <c r="B27" s="3" t="inlineStr">
        <is>
          <t>メールフロー</t>
        </is>
      </c>
      <c r="C27" s="3" t="inlineStr">
        <is>
          <t>未移行ユーザー→外部</t>
        </is>
      </c>
      <c r="D27" s="3" t="inlineStr">
        <is>
          <t>1. Thunderbirdから外部アドレスへ送信
2. 外部での受信を確認</t>
        </is>
      </c>
      <c r="E27" s="3" t="inlineStr">
        <is>
          <t>既存経路（現行GWサーバー）で配送</t>
        </is>
      </c>
      <c r="F27" s="3" t="inlineStr"/>
      <c r="G27" s="3" t="inlineStr"/>
      <c r="H27" s="3" t="inlineStr"/>
      <c r="I27" s="3" t="inlineStr"/>
      <c r="J27" s="3" t="inlineStr"/>
    </row>
    <row r="28">
      <c r="A28" s="3" t="n">
        <v>20</v>
      </c>
      <c r="B28" s="3" t="inlineStr">
        <is>
          <t>メールフロー</t>
        </is>
      </c>
      <c r="C28" s="3" t="inlineStr">
        <is>
          <t>外部→EXOユーザー</t>
        </is>
      </c>
      <c r="D28" s="3" t="inlineStr">
        <is>
          <t>1. Gmailなどから移行済みユーザーへ送信
2. EXOでの受信を確認</t>
        </is>
      </c>
      <c r="E28" s="3" t="inlineStr">
        <is>
          <t>FireEye→AWS DMZ→EXO経由で配送</t>
        </is>
      </c>
      <c r="F28" s="3" t="inlineStr"/>
      <c r="G28" s="3" t="inlineStr"/>
      <c r="H28" s="3" t="inlineStr"/>
      <c r="I28" s="3" t="inlineStr"/>
      <c r="J28" s="3" t="inlineStr"/>
    </row>
    <row r="29">
      <c r="A29" s="3" t="n">
        <v>21</v>
      </c>
      <c r="B29" s="3" t="inlineStr">
        <is>
          <t>メールフロー</t>
        </is>
      </c>
      <c r="C29" s="3" t="inlineStr">
        <is>
          <t>外部→未移行ユーザー</t>
        </is>
      </c>
      <c r="D29" s="3" t="inlineStr">
        <is>
          <t>1. Gmailなどから未移行ユーザーへ送信
2. Courier IMAPでの受信を確認</t>
        </is>
      </c>
      <c r="E29" s="3" t="inlineStr">
        <is>
          <t>既存経路で配送（変更なし）</t>
        </is>
      </c>
      <c r="F29" s="3" t="inlineStr"/>
      <c r="G29" s="3" t="inlineStr"/>
      <c r="H29" s="3" t="inlineStr"/>
      <c r="I29" s="3" t="inlineStr"/>
      <c r="J29" s="3" t="inlineStr"/>
    </row>
    <row r="30">
      <c r="A30" s="3" t="n">
        <v>22</v>
      </c>
      <c r="B30" s="3" t="inlineStr">
        <is>
          <t>セキュリティ</t>
        </is>
      </c>
      <c r="C30" s="3" t="inlineStr">
        <is>
          <t>TLS接続確認（Inbound）</t>
        </is>
      </c>
      <c r="D30" s="3" t="inlineStr">
        <is>
          <t>1. AWS DMZ SMTPからEXOへのTLS接続を確認
2. 証明書検証を確認</t>
        </is>
      </c>
      <c r="E30" s="3" t="inlineStr">
        <is>
          <t>TLS 1.2以上で接続</t>
        </is>
      </c>
      <c r="F30" s="3" t="inlineStr"/>
      <c r="G30" s="3" t="inlineStr"/>
      <c r="H30" s="3" t="inlineStr"/>
      <c r="I30" s="3" t="inlineStr"/>
      <c r="J30" s="3" t="inlineStr"/>
    </row>
    <row r="31">
      <c r="A31" s="3" t="n">
        <v>23</v>
      </c>
      <c r="B31" s="3" t="inlineStr">
        <is>
          <t>セキュリティ</t>
        </is>
      </c>
      <c r="C31" s="3" t="inlineStr">
        <is>
          <t>TLS接続確認（Outbound）</t>
        </is>
      </c>
      <c r="D31" s="3" t="inlineStr">
        <is>
          <t>1. EXOからセキュリティサービスへのTLS接続を確認
2. 証明書検証を確認</t>
        </is>
      </c>
      <c r="E31" s="3" t="inlineStr">
        <is>
          <t>TLS 1.2以上で接続</t>
        </is>
      </c>
      <c r="F31" s="3" t="inlineStr"/>
      <c r="G31" s="3" t="inlineStr"/>
      <c r="H31" s="3" t="inlineStr"/>
      <c r="I31" s="3" t="inlineStr"/>
      <c r="J31" s="3" t="inlineStr"/>
    </row>
    <row r="32">
      <c r="A32" s="3" t="n">
        <v>24</v>
      </c>
      <c r="B32" s="3" t="inlineStr">
        <is>
          <t>異常系</t>
        </is>
      </c>
      <c r="C32" s="3" t="inlineStr">
        <is>
          <t>存在しないユーザー宛送信</t>
        </is>
      </c>
      <c r="D32" s="3" t="inlineStr">
        <is>
          <t>1. 存在しないアドレス宛にメール送信
2. NDRが返送されることを確認</t>
        </is>
      </c>
      <c r="E32" s="3" t="inlineStr">
        <is>
          <t>NDR返送（550エラー）</t>
        </is>
      </c>
      <c r="F32" s="3" t="inlineStr"/>
      <c r="G32" s="3" t="inlineStr"/>
      <c r="H32" s="3" t="inlineStr"/>
      <c r="I32" s="3" t="inlineStr"/>
      <c r="J32" s="3" t="inlineStr"/>
    </row>
    <row r="33">
      <c r="A33" s="3" t="n">
        <v>25</v>
      </c>
      <c r="B33" s="3" t="inlineStr">
        <is>
          <t>異常系</t>
        </is>
      </c>
      <c r="C33" s="3" t="inlineStr">
        <is>
          <t>大容量添付ファイル送信</t>
        </is>
      </c>
      <c r="D33" s="3" t="inlineStr">
        <is>
          <t>1. 35MB超の添付ファイルを送信
2. エラーまたは制限メッセージを確認</t>
        </is>
      </c>
      <c r="E33" s="3" t="inlineStr">
        <is>
          <t>サイズ制限エラー</t>
        </is>
      </c>
      <c r="F33" s="3" t="inlineStr"/>
      <c r="G33" s="3" t="inlineStr"/>
      <c r="H33" s="3" t="inlineStr"/>
      <c r="I33" s="3" t="inlineStr"/>
      <c r="J33" s="3" t="inlineStr"/>
    </row>
    <row r="34">
      <c r="A34" s="3" t="n">
        <v>26</v>
      </c>
      <c r="B34" s="3" t="inlineStr">
        <is>
          <t>切り戻し</t>
        </is>
      </c>
      <c r="C34" s="3" t="inlineStr">
        <is>
          <t>AWS DMZ transport復元</t>
        </is>
      </c>
      <c r="D34" s="3" t="inlineStr">
        <is>
          <t>1. Restore-DmzSmtpRouting.shを実行
2. 元のルーティングに戻ることを確認</t>
        </is>
      </c>
      <c r="E34" s="3" t="inlineStr">
        <is>
          <t>バックアップから復元、postfix reload成功</t>
        </is>
      </c>
      <c r="F34" s="3" t="inlineStr"/>
      <c r="G34" s="3" t="inlineStr"/>
      <c r="H34" s="3" t="inlineStr"/>
      <c r="I34" s="3" t="inlineStr"/>
      <c r="J34" s="3" t="inlineStr"/>
    </row>
    <row r="35">
      <c r="A35" s="3" t="n">
        <v>27</v>
      </c>
      <c r="B35" s="3" t="inlineStr">
        <is>
          <t>切り戻し</t>
        </is>
      </c>
      <c r="C35" s="3" t="inlineStr">
        <is>
          <t>Accepted Domain復元</t>
        </is>
      </c>
      <c r="D35" s="3" t="inlineStr">
        <is>
          <t>1. Restore-AcceptedDomainType.ps1を実行
2. ドメインタイプが元に戻ることを確認</t>
        </is>
      </c>
      <c r="E35" s="3" t="inlineStr">
        <is>
          <t>スナップショットから復元</t>
        </is>
      </c>
      <c r="F35" s="3" t="inlineStr"/>
      <c r="G35" s="3" t="inlineStr"/>
      <c r="H35" s="3" t="inlineStr"/>
      <c r="I35" s="3" t="inlineStr"/>
      <c r="J35" s="3" t="inlineStr"/>
    </row>
    <row r="36">
      <c r="A36" s="3" t="n">
        <v>28</v>
      </c>
      <c r="B36" s="3" t="inlineStr">
        <is>
          <t>切り戻し</t>
        </is>
      </c>
      <c r="C36" s="3" t="inlineStr">
        <is>
          <t>切り戻し後のメールフロー確認</t>
        </is>
      </c>
      <c r="D36" s="3" t="inlineStr">
        <is>
          <t>1. 切り戻し後に各パターンでメール送受信
2. 全て既存経路で配送されることを確認</t>
        </is>
      </c>
      <c r="E36" s="3" t="inlineStr">
        <is>
          <t>切り戻し前の状態に復旧</t>
        </is>
      </c>
      <c r="F36" s="3" t="inlineStr"/>
      <c r="G36" s="3" t="inlineStr"/>
      <c r="H36" s="3" t="inlineStr"/>
      <c r="I36" s="3" t="inlineStr"/>
      <c r="J36" s="3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0" customWidth="1" min="3" max="3"/>
  </cols>
  <sheetData>
    <row r="1">
      <c r="A1" s="1" t="inlineStr">
        <is>
          <t>本番切替判定</t>
        </is>
      </c>
    </row>
    <row r="3">
      <c r="A3" s="2" t="inlineStr">
        <is>
          <t>判定項目</t>
        </is>
      </c>
      <c r="B3" s="2" t="inlineStr">
        <is>
          <t>結果</t>
        </is>
      </c>
      <c r="C3" s="2" t="inlineStr">
        <is>
          <t>備考</t>
        </is>
      </c>
    </row>
    <row r="4">
      <c r="A4" s="3" t="inlineStr">
        <is>
          <t>全テストケース合格</t>
        </is>
      </c>
      <c r="B4" s="3" t="inlineStr"/>
      <c r="C4" s="3" t="inlineStr"/>
    </row>
    <row r="5">
      <c r="A5" s="3" t="inlineStr">
        <is>
          <t>お客様確認OK</t>
        </is>
      </c>
      <c r="B5" s="3" t="inlineStr"/>
      <c r="C5" s="3" t="inlineStr"/>
    </row>
    <row r="6">
      <c r="A6" s="3" t="inlineStr">
        <is>
          <t>重大な問題なし</t>
        </is>
      </c>
      <c r="B6" s="3" t="inlineStr"/>
      <c r="C6" s="3" t="inlineStr"/>
    </row>
    <row r="7">
      <c r="A7" s="3" t="inlineStr">
        <is>
          <t>切り戻し手順確認済み</t>
        </is>
      </c>
      <c r="B7" s="3" t="inlineStr"/>
      <c r="C7" s="3" t="inlineStr"/>
    </row>
    <row r="8">
      <c r="A8" s="3" t="inlineStr">
        <is>
          <t>運用引継ぎ完了</t>
        </is>
      </c>
      <c r="B8" s="3" t="inlineStr"/>
      <c r="C8" s="3" t="inlineStr"/>
    </row>
    <row r="10">
      <c r="A10" s="4" t="inlineStr">
        <is>
          <t>総合判定</t>
        </is>
      </c>
      <c r="B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2026-01-20T01:45:20Z</dcterms:created>
  <dcterms:modified xmlns:dcterms="http://purl.org/dc/terms/" xmlns:xsi="http://www.w3.org/2001/XMLSchema-instance" xsi:type="dcterms:W3CDTF">2026-01-20T01:45:20Z</dcterms:modified>
</cp:coreProperties>
</file>